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575c528f4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Metrics" sheetId="1" r:id="Ra7d4f0c767bb4472"/>
    <x:sheet xmlns:r="http://schemas.openxmlformats.org/officeDocument/2006/relationships" name="Cluster_Profiles" sheetId="2" r:id="Rd5ee974a50964958"/>
    <x:sheet xmlns:r="http://schemas.openxmlformats.org/officeDocument/2006/relationships" name="K_Evaluation" sheetId="3" r:id="R9bca6c23908c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#,##0"/>
    <x:numFmt numFmtId="202" formatCode="@"/>
    <x:numFmt numFmtId="203" formatCode="0"/>
    <x:numFmt numFmtId="204" formatCode="#,##0.00"/>
    <x:numFmt numFmtId="205" formatCode="0.00"/>
    <x:numFmt numFmtId="206" formatCode="0.00%"/>
  </x:numFmts>
  <x:fonts count="6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0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A6A6A6"/>
      </x:left>
      <x:right style="thin">
        <x:color rgb="FFFFFFFF"/>
      </x:right>
      <x:top style="thin">
        <x:color rgb="FFA6A6A6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A6A6A6"/>
      </x:right>
      <x:top style="thin">
        <x:color rgb="FFA6A6A6"/>
      </x:top>
      <x:bottom style="thin">
        <x:color rgb="FFFFFFFF"/>
      </x:bottom>
      <x:diagonal/>
    </x:border>
    <x:border>
      <x:left style="thin">
        <x:color rgb="FFA6A6A6"/>
      </x:left>
      <x:right/>
      <x:top/>
      <x:bottom/>
      <x:diagonal/>
    </x:border>
    <x:border>
      <x:left/>
      <x:right style="thin">
        <x:color rgb="FFA6A6A6"/>
      </x:right>
      <x:top/>
      <x:bottom/>
      <x:diagonal/>
    </x:border>
    <x:border>
      <x:left style="thin">
        <x:color rgb="FFA6A6A6"/>
      </x:left>
      <x:right/>
      <x:top/>
      <x:bottom style="thin">
        <x:color rgb="FFA6A6A6"/>
      </x:bottom>
      <x:diagonal/>
    </x:border>
    <x:border>
      <x:left/>
      <x:right style="thin">
        <x:color rgb="FFA6A6A6"/>
      </x:right>
      <x:top/>
      <x:bottom style="thin">
        <x:color rgb="FFA6A6A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A6A6A6"/>
      </x:top>
      <x:bottom style="thin">
        <x:color rgb="FFFFFFFF"/>
      </x:bottom>
      <x:diagonal/>
    </x:border>
    <x:border>
      <x:left/>
      <x:right/>
      <x:top/>
      <x:bottom style="thin">
        <x:color rgb="FFA6A6A6"/>
      </x:bottom>
      <x:diagonal/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4" borderId="6" xfId="0" applyNumberFormat="1" applyFont="1" applyFill="1" applyBorder="1"/>
    <x:xf numFmtId="205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5" fillId="4" borderId="4" xfId="0" applyNumberFormat="1" applyFont="1" applyFill="1" applyBorder="1"/>
    <x:xf numFmtId="201" fontId="5" fillId="0" borderId="5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5" xfId="0" applyNumberFormat="1" applyFont="1" applyFill="1" applyBorder="1"/>
    <x:xf numFmtId="203" fontId="5" fillId="0" borderId="5" xfId="0" applyNumberFormat="1" applyFont="1" applyFill="1" applyBorder="1"/>
    <x:xf numFmtId="204" fontId="5" fillId="0" borderId="5" xfId="0" applyNumberFormat="1" applyFont="1" applyFill="1" applyBorder="1"/>
    <x:xf numFmtId="200" fontId="5" fillId="0" borderId="5" xfId="0" applyNumberFormat="1" applyFont="1" applyFill="1" applyBorder="1"/>
    <x:xf numFmtId="0" fontId="5" fillId="4" borderId="6" xfId="0" applyNumberFormat="1" applyFont="1" applyFill="1" applyBorder="1"/>
    <x:xf numFmtId="205" fontId="5" fillId="0" borderId="7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205" fontId="5" fillId="0" borderId="7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0" fontId="2" fillId="2" borderId="8" xfId="0" applyNumberFormat="1" applyFont="1" applyFill="1" applyBorder="1" applyAlignment="1">
      <x:alignment horizontal="center" vertical="center"/>
    </x:xf>
    <x:xf numFmtId="203" fontId="0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6" xfId="0" applyNumberFormat="1" applyFont="1" applyFill="1" applyBorder="1"/>
    <x:xf numFmtId="201" fontId="0" fillId="0" borderId="9" xfId="0" applyNumberFormat="1" applyFont="1" applyFill="1" applyBorder="1"/>
    <x:xf numFmtId="204" fontId="0" fillId="0" borderId="9" xfId="0" applyNumberFormat="1" applyFont="1" applyFill="1" applyBorder="1"/>
    <x:xf numFmtId="206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4" fillId="2" borderId="8" xfId="0" applyNumberFormat="1" applyFont="1" applyFill="1" applyBorder="1" applyAlignment="1">
      <x:alignment horizontal="center" vertical="center"/>
    </x:xf>
    <x:xf numFmtId="203" fontId="5" fillId="0" borderId="4" xfId="0" applyNumberFormat="1" applyFont="1" applyFill="1" applyBorder="1"/>
    <x:xf numFmtId="201" fontId="5" fillId="0" borderId="0" xfId="0" applyNumberFormat="1" applyFont="1" applyFill="1" applyBorder="1"/>
    <x:xf numFmtId="204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0" borderId="5" xfId="0" applyNumberFormat="1" applyFont="1" applyFill="1" applyBorder="1"/>
    <x:xf numFmtId="203" fontId="5" fillId="0" borderId="6" xfId="0" applyNumberFormat="1" applyFont="1" applyFill="1" applyBorder="1"/>
    <x:xf numFmtId="201" fontId="5" fillId="0" borderId="9" xfId="0" applyNumberFormat="1" applyFont="1" applyFill="1" applyBorder="1"/>
    <x:xf numFmtId="204" fontId="5" fillId="0" borderId="9" xfId="0" applyNumberFormat="1" applyFont="1" applyFill="1" applyBorder="1"/>
    <x:xf numFmtId="206" fontId="5" fillId="0" borderId="9" xfId="0" applyNumberFormat="1" applyFont="1" applyFill="1" applyBorder="1"/>
    <x:xf numFmtId="0" fontId="5" fillId="0" borderId="7" xfId="0" applyNumberFormat="1" applyFont="1" applyFill="1" applyBorder="1"/>
    <x:xf numFmtId="203" fontId="5" fillId="0" borderId="4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4" fontId="5" fillId="0" borderId="9" xfId="0" applyNumberFormat="1" applyFont="1" applyFill="1" applyBorder="1" applyAlignment="1">
      <x:alignment vertical="center"/>
    </x:xf>
    <x:xf numFmtId="206" fontId="5" fillId="0" borderId="9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6" fontId="0" fillId="0" borderId="5" xfId="0" applyNumberFormat="1" applyFont="1" applyFill="1" applyBorder="1"/>
    <x:xf numFmtId="200" fontId="0" fillId="0" borderId="9" xfId="0" applyNumberFormat="1" applyFont="1" applyFill="1" applyBorder="1"/>
    <x:xf numFmtId="206" fontId="0" fillId="0" borderId="7" xfId="0" applyNumberFormat="1" applyFont="1" applyFill="1" applyBorder="1"/>
    <x:xf numFmtId="200" fontId="5" fillId="0" borderId="0" xfId="0" applyNumberFormat="1" applyFont="1" applyFill="1" applyBorder="1"/>
    <x:xf numFmtId="206" fontId="5" fillId="0" borderId="5" xfId="0" applyNumberFormat="1" applyFont="1" applyFill="1" applyBorder="1"/>
    <x:xf numFmtId="200" fontId="5" fillId="0" borderId="9" xfId="0" applyNumberFormat="1" applyFont="1" applyFill="1" applyBorder="1"/>
    <x:xf numFmtId="206" fontId="5" fillId="0" borderId="7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6" fontId="5" fillId="0" borderId="5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6" fontId="5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EDF4F8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b0bc2f5a64f87" /><Relationship Type="http://schemas.openxmlformats.org/officeDocument/2006/relationships/theme" Target="/xl/theme/theme1.xml" Id="R613a3b6c632044a4" /><Relationship Type="http://schemas.openxmlformats.org/officeDocument/2006/relationships/sharedStrings" Target="/xl/sharedStrings.xml" Id="R4e6eed8dd0f1401c" /><Relationship Type="http://schemas.openxmlformats.org/officeDocument/2006/relationships/worksheet" Target="/xl/worksheets/sheet1.xml" Id="Ra7d4f0c767bb4472" /><Relationship Type="http://schemas.openxmlformats.org/officeDocument/2006/relationships/worksheet" Target="/xl/worksheets/sheet2.xml" Id="Rd5ee974a50964958" /><Relationship Type="http://schemas.openxmlformats.org/officeDocument/2006/relationships/worksheet" Target="/xl/worksheets/sheet3.xml" Id="R9bca6c23908c42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" hidden="0" customWidth="1"/>
    <x:col min="4" max="4" width="58" hidden="0" customWidth="1"/>
  </x:cols>
  <x:sheetData>
    <x:row r="2">
      <x:c r="A2" s="41" t="str">
        <x:v>Kết quả mô hình K-Means RFM</x:v>
      </x:c>
      <x:c r="B2" s="42"/>
      <x:c r="C2" s="42"/>
      <x:c r="D2" s="42"/>
    </x:row>
    <x:row r="3">
      <x:c r="A3" s="42"/>
      <x:c r="B3" s="42"/>
      <x:c r="C3" s="42"/>
      <x:c r="D3" s="42"/>
    </x:row>
    <x:row r="4">
      <x:c r="A4" s="29" t="str">
        <x:v>Metric</x:v>
      </x:c>
      <x:c r="B4" s="30" t="str">
        <x:v>Value</x:v>
      </x:c>
      <x:c r="C4" s="42"/>
      <x:c r="D4" s="43" t="str">
        <x:v>Lý do chọn K</x:v>
      </x:c>
    </x:row>
    <x:row r="5" ht="42" customHeight="1">
      <x:c r="A5" s="44" t="str">
        <x:v>Customer_Count</x:v>
      </x:c>
      <x:c r="B5" s="45" t="n">
        <x:v>93358</x:v>
      </x:c>
      <x:c r="C5" s="42"/>
      <x:c r="D5" s="46" t="str">
        <x:v>Chọn điểm elbow vì các cụm ổn định, không có cụm quá nhỏ và số nhóm phù hợp để xây dựng chính sách khách hàng.</x:v>
      </x:c>
    </x:row>
    <x:row r="6">
      <x:c r="A6" s="44" t="str">
        <x:v>Reference_Date</x:v>
      </x:c>
      <x:c r="B6" s="47" t="str">
        <x:v>2018-08-30</x:v>
      </x:c>
      <x:c r="C6" s="42"/>
      <x:c r="D6" s="42"/>
    </x:row>
    <x:row r="7">
      <x:c r="A7" s="44" t="str">
        <x:v>Selected_K</x:v>
      </x:c>
      <x:c r="B7" s="48" t="n">
        <x:v>4</x:v>
      </x:c>
      <x:c r="C7" s="42"/>
      <x:c r="D7" s="43" t="str">
        <x:v>Quy tắc dữ liệu</x:v>
      </x:c>
    </x:row>
    <x:row r="8" ht="32" customHeight="1">
      <x:c r="A8" s="44" t="str">
        <x:v>Metric_Best_K</x:v>
      </x:c>
      <x:c r="B8" s="48" t="n">
        <x:v>2</x:v>
      </x:c>
      <x:c r="C8" s="42"/>
      <x:c r="D8" s="46" t="str">
        <x:v>Chỉ lấy đơn delivered; Monetary là tổng total_products_value.</x:v>
      </x:c>
    </x:row>
    <x:row r="9">
      <x:c r="A9" s="44" t="str">
        <x:v>Elbow_K</x:v>
      </x:c>
      <x:c r="B9" s="48" t="n">
        <x:v>4</x:v>
      </x:c>
      <x:c r="C9" s="42"/>
      <x:c r="D9" s="42"/>
    </x:row>
    <x:row r="10">
      <x:c r="A10" s="44" t="str">
        <x:v>Inertia</x:v>
      </x:c>
      <x:c r="B10" s="49" t="n">
        <x:v>83293.0134869091</x:v>
      </x:c>
      <x:c r="C10" s="42"/>
      <x:c r="D10" s="42"/>
    </x:row>
    <x:row r="11">
      <x:c r="A11" s="44" t="str">
        <x:v>Silhouette</x:v>
      </x:c>
      <x:c r="B11" s="50" t="n">
        <x:v>0.39180847491708615</x:v>
      </x:c>
      <x:c r="C11" s="42"/>
      <x:c r="D11" s="42"/>
    </x:row>
    <x:row r="12">
      <x:c r="A12" s="44" t="str">
        <x:v>Davies_Bouldin</x:v>
      </x:c>
      <x:c r="B12" s="50" t="n">
        <x:v>0.7591347612502135</x:v>
      </x:c>
      <x:c r="C12" s="42"/>
      <x:c r="D12" s="42"/>
    </x:row>
    <x:row r="13">
      <x:c r="A13" s="44" t="str">
        <x:v>Calinski_Harabasz</x:v>
      </x:c>
      <x:c r="B13" s="50" t="n">
        <x:v>73516.99600103206</x:v>
      </x:c>
      <x:c r="C13" s="42"/>
      <x:c r="D13" s="42"/>
    </x:row>
    <x:row r="14">
      <x:c r="A14" s="44" t="str">
        <x:v>Stability_ARI</x:v>
      </x:c>
      <x:c r="B14" s="50" t="n">
        <x:v>0.9991696961953982</x:v>
      </x:c>
      <x:c r="C14" s="42"/>
      <x:c r="D14" s="42"/>
    </x:row>
    <x:row r="15">
      <x:c r="A15" s="44" t="str">
        <x:v>Train_Time_s</x:v>
      </x:c>
      <x:c r="B15" s="50" t="n">
        <x:v>0.9604073000000426</x:v>
      </x:c>
      <x:c r="C15" s="42"/>
      <x:c r="D15" s="42"/>
    </x:row>
    <x:row r="16">
      <x:c r="A16" s="51" t="str">
        <x:v>Peak_RAM_MB</x:v>
      </x:c>
      <x:c r="B16" s="52" t="n">
        <x:v>14.98349380493164</x:v>
      </x:c>
      <x:c r="C16" s="42"/>
      <x:c r="D16" s="4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2" hidden="0" customWidth="1"/>
  </x:cols>
  <x:sheetData>
    <x:row r="2">
      <x:c r="A2" s="41" t="str">
        <x:v>Hồ sơ bốn cụm khách hàng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29" t="str">
        <x:v>Cluster</x:v>
      </x:c>
      <x:c r="B4" s="62" t="str">
        <x:v>Customer Count</x:v>
      </x:c>
      <x:c r="C4" s="62" t="str">
        <x:v>Recency Mean</x:v>
      </x:c>
      <x:c r="D4" s="62" t="str">
        <x:v>Recency Median</x:v>
      </x:c>
      <x:c r="E4" s="62" t="str">
        <x:v>Frequency Mean</x:v>
      </x:c>
      <x:c r="F4" s="62" t="str">
        <x:v>Frequency Median</x:v>
      </x:c>
      <x:c r="G4" s="62" t="str">
        <x:v>Monetary Mean</x:v>
      </x:c>
      <x:c r="H4" s="62" t="str">
        <x:v>Monetary Median</x:v>
      </x:c>
      <x:c r="I4" s="62" t="str">
        <x:v>Percentage</x:v>
      </x:c>
      <x:c r="J4" s="30" t="str">
        <x:v>Segment</x:v>
      </x:c>
    </x:row>
    <x:row r="5">
      <x:c r="A5" s="73" t="n">
        <x:v>0</x:v>
      </x:c>
      <x:c r="B5" s="74" t="n">
        <x:v>37665</x:v>
      </x:c>
      <x:c r="C5" s="75" t="n">
        <x:v>278.97568033983805</x:v>
      </x:c>
      <x:c r="D5" s="75" t="n">
        <x:v>262</x:v>
      </x:c>
      <x:c r="E5" s="75" t="n">
        <x:v>1</x:v>
      </x:c>
      <x:c r="F5" s="75" t="n">
        <x:v>1</x:v>
      </x:c>
      <x:c r="G5" s="75" t="n">
        <x:v>237.25981494756405</x:v>
      </x:c>
      <x:c r="H5" s="75" t="n">
        <x:v>150</x:v>
      </x:c>
      <x:c r="I5" s="76" t="n">
        <x:v>0.40344694616422805</x:v>
      </x:c>
      <x:c r="J5" s="77" t="str">
        <x:v>At-Risk High Spenders (Chi tiêu cao, lâu chưa mua)</x:v>
      </x:c>
    </x:row>
    <x:row r="6">
      <x:c r="A6" s="73" t="n">
        <x:v>1</x:v>
      </x:c>
      <x:c r="B6" s="74" t="n">
        <x:v>36601</x:v>
      </x:c>
      <x:c r="C6" s="75" t="n">
        <x:v>285.1958689653288</x:v>
      </x:c>
      <x:c r="D6" s="75" t="n">
        <x:v>269</x:v>
      </x:c>
      <x:c r="E6" s="75" t="n">
        <x:v>1</x:v>
      </x:c>
      <x:c r="F6" s="75" t="n">
        <x:v>1</x:v>
      </x:c>
      <x:c r="G6" s="75" t="n">
        <x:v>45.102296931777815</x:v>
      </x:c>
      <x:c r="H6" s="75" t="n">
        <x:v>44.99</x:v>
      </x:c>
      <x:c r="I6" s="76" t="n">
        <x:v>0.3920499582253262</x:v>
      </x:c>
      <x:c r="J6" s="77" t="str">
        <x:v>Hibernating Low-Value (Lâu chưa mua, giá trị thấp)</x:v>
      </x:c>
    </x:row>
    <x:row r="7">
      <x:c r="A7" s="73" t="n">
        <x:v>2</x:v>
      </x:c>
      <x:c r="B7" s="74" t="n">
        <x:v>2801</x:v>
      </x:c>
      <x:c r="C7" s="75" t="n">
        <x:v>220.8093538022135</x:v>
      </x:c>
      <x:c r="D7" s="75" t="n">
        <x:v>200</x:v>
      </x:c>
      <x:c r="E7" s="75" t="n">
        <x:v>2.1138878971795787</x:v>
      </x:c>
      <x:c r="F7" s="75" t="n">
        <x:v>2</x:v>
      </x:c>
      <x:c r="G7" s="75" t="n">
        <x:v>260.05310603355946</x:v>
      </x:c>
      <x:c r="H7" s="75" t="n">
        <x:v>182.1</x:v>
      </x:c>
      <x:c r="I7" s="76" t="n">
        <x:v>0.03000278497825575</x:v>
      </x:c>
      <x:c r="J7" s="77" t="str">
        <x:v>Champions / Loyal (Khách mua lặp lại)</x:v>
      </x:c>
    </x:row>
    <x:row r="8">
      <x:c r="A8" s="78" t="n">
        <x:v>3</x:v>
      </x:c>
      <x:c r="B8" s="79" t="n">
        <x:v>16291</x:v>
      </x:c>
      <x:c r="C8" s="80" t="n">
        <x:v>42.92867227303419</x:v>
      </x:c>
      <x:c r="D8" s="80" t="n">
        <x:v>38</x:v>
      </x:c>
      <x:c r="E8" s="80" t="n">
        <x:v>1</x:v>
      </x:c>
      <x:c r="F8" s="80" t="n">
        <x:v>1</x:v>
      </x:c>
      <x:c r="G8" s="80" t="n">
        <x:v>116.99154502486036</x:v>
      </x:c>
      <x:c r="H8" s="80" t="n">
        <x:v>83.99</x:v>
      </x:c>
      <x:c r="I8" s="81" t="n">
        <x:v>0.17450031063219007</x:v>
      </x:c>
      <x:c r="J8" s="82" t="str">
        <x:v>Recent Active (Khách mua gần đây)</x:v>
      </x:c>
    </x:row>
  </x:sheetData>
  <x:conditionalFormatting sqref="A5:J8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9" hidden="0" customWidth="1"/>
    <x:col min="8" max="8" width="19" hidden="0" customWidth="1"/>
  </x:cols>
  <x:sheetData>
    <x:row r="2">
      <x:c r="A2" s="41" t="str">
        <x:v>Đánh giá số cụm từ K=2 đến K=10</x:v>
      </x:c>
      <x:c r="B2" s="42"/>
      <x:c r="C2" s="42"/>
      <x:c r="D2" s="42"/>
      <x:c r="E2" s="42"/>
      <x:c r="F2" s="42"/>
      <x:c r="G2" s="42"/>
      <x:c r="H2" s="42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29" t="str">
        <x:v>K</x:v>
      </x:c>
      <x:c r="B4" s="62" t="str">
        <x:v>Inertia</x:v>
      </x:c>
      <x:c r="C4" s="62" t="str">
        <x:v>Silhouette</x:v>
      </x:c>
      <x:c r="D4" s="62" t="str">
        <x:v>Davies-Bouldin</x:v>
      </x:c>
      <x:c r="E4" s="62" t="str">
        <x:v>Calinski-Harabasz</x:v>
      </x:c>
      <x:c r="F4" s="62" t="str">
        <x:v>Stability ARI</x:v>
      </x:c>
      <x:c r="G4" s="62" t="str">
        <x:v>Smallest Cluster</x:v>
      </x:c>
      <x:c r="H4" s="30" t="str">
        <x:v>Largest Cluster</x:v>
      </x:c>
    </x:row>
    <x:row r="5">
      <x:c r="A5" s="73" t="n">
        <x:v>2</x:v>
      </x:c>
      <x:c r="B5" s="75" t="n">
        <x:v>190705.86836443382</x:v>
      </x:c>
      <x:c r="C5" s="90" t="n">
        <x:v>0.7099282140870821</x:v>
      </x:c>
      <x:c r="D5" s="90" t="n">
        <x:v>0.47135086002695714</x:v>
      </x:c>
      <x:c r="E5" s="90" t="n">
        <x:v>43748.267258491935</x:v>
      </x:c>
      <x:c r="F5" s="90" t="n">
        <x:v>1</x:v>
      </x:c>
      <x:c r="G5" s="76" t="n">
        <x:v>0.03000278497825575</x:v>
      </x:c>
      <x:c r="H5" s="91" t="n">
        <x:v>0.9699972150217442</x:v>
      </x:c>
    </x:row>
    <x:row r="6">
      <x:c r="A6" s="73" t="n">
        <x:v>3</x:v>
      </x:c>
      <x:c r="B6" s="75" t="n">
        <x:v>129573.25962450083</x:v>
      </x:c>
      <x:c r="C6" s="90" t="n">
        <x:v>0.4178477221526424</x:v>
      </x:c>
      <x:c r="D6" s="90" t="n">
        <x:v>0.8350590128642734</x:v>
      </x:c>
      <x:c r="E6" s="90" t="n">
        <x:v>54216.502971411755</x:v>
      </x:c>
      <x:c r="F6" s="90" t="n">
        <x:v>0.9947189076513476</x:v>
      </x:c>
      <x:c r="G6" s="76" t="n">
        <x:v>0.03000278497825575</x:v>
      </x:c>
      <x:c r="H6" s="91" t="n">
        <x:v>0.7622592600527004</x:v>
      </x:c>
    </x:row>
    <x:row r="7">
      <x:c r="A7" s="73" t="n">
        <x:v>4</x:v>
      </x:c>
      <x:c r="B7" s="75" t="n">
        <x:v>83293.0134869091</x:v>
      </x:c>
      <x:c r="C7" s="90" t="n">
        <x:v>0.39180847491708615</x:v>
      </x:c>
      <x:c r="D7" s="90" t="n">
        <x:v>0.7591347612502135</x:v>
      </x:c>
      <x:c r="E7" s="90" t="n">
        <x:v>73516.99600103206</x:v>
      </x:c>
      <x:c r="F7" s="90" t="n">
        <x:v>0.9991696961953982</x:v>
      </x:c>
      <x:c r="G7" s="76" t="n">
        <x:v>0.03000278497825575</x:v>
      </x:c>
      <x:c r="H7" s="91" t="n">
        <x:v>0.40344694616422805</x:v>
      </x:c>
    </x:row>
    <x:row r="8">
      <x:c r="A8" s="73" t="n">
        <x:v>5</x:v>
      </x:c>
      <x:c r="B8" s="75" t="n">
        <x:v>69099.07532098942</x:v>
      </x:c>
      <x:c r="C8" s="90" t="n">
        <x:v>0.3497586849608026</x:v>
      </x:c>
      <x:c r="D8" s="90" t="n">
        <x:v>0.8239270239193065</x:v>
      </x:c>
      <x:c r="E8" s="90" t="n">
        <x:v>71257.2085350376</x:v>
      </x:c>
      <x:c r="F8" s="90" t="n">
        <x:v>0.9866827009406055</x:v>
      </x:c>
      <x:c r="G8" s="76" t="n">
        <x:v>0.03000278497825575</x:v>
      </x:c>
      <x:c r="H8" s="91" t="n">
        <x:v>0.3883116604897277</x:v>
      </x:c>
    </x:row>
    <x:row r="9">
      <x:c r="A9" s="73" t="n">
        <x:v>6</x:v>
      </x:c>
      <x:c r="B9" s="75" t="n">
        <x:v>58873.17939278313</x:v>
      </x:c>
      <x:c r="C9" s="90" t="n">
        <x:v>0.34947490953968907</x:v>
      </x:c>
      <x:c r="D9" s="90" t="n">
        <x:v>0.7909185012769185</x:v>
      </x:c>
      <x:c r="E9" s="90" t="n">
        <x:v>70150.54344793357</x:v>
      </x:c>
      <x:c r="F9" s="90" t="n">
        <x:v>0.98976123686739</x:v>
      </x:c>
      <x:c r="G9" s="76" t="n">
        <x:v>0.03000278497825575</x:v>
      </x:c>
      <x:c r="H9" s="91" t="n">
        <x:v>0.2977570213586409</x:v>
      </x:c>
    </x:row>
    <x:row r="10">
      <x:c r="A10" s="73" t="n">
        <x:v>7</x:v>
      </x:c>
      <x:c r="B10" s="75" t="n">
        <x:v>51832.300833567795</x:v>
      </x:c>
      <x:c r="C10" s="90" t="n">
        <x:v>0.354937697702164</x:v>
      </x:c>
      <x:c r="D10" s="90" t="n">
        <x:v>0.812109179329893</x:v>
      </x:c>
      <x:c r="E10" s="90" t="n">
        <x:v>68512.23225463407</x:v>
      </x:c>
      <x:c r="F10" s="90" t="n">
        <x:v>0.8913309360512456</x:v>
      </x:c>
      <x:c r="G10" s="76" t="n">
        <x:v>0.03000278497825575</x:v>
      </x:c>
      <x:c r="H10" s="91" t="n">
        <x:v>0.27437391546519846</x:v>
      </x:c>
    </x:row>
    <x:row r="11">
      <x:c r="A11" s="73" t="n">
        <x:v>8</x:v>
      </x:c>
      <x:c r="B11" s="75" t="n">
        <x:v>46341.257238962826</x:v>
      </x:c>
      <x:c r="C11" s="90" t="n">
        <x:v>0.3383788502421467</x:v>
      </x:c>
      <x:c r="D11" s="90" t="n">
        <x:v>0.8508945992175359</x:v>
      </x:c>
      <x:c r="E11" s="90" t="n">
        <x:v>67262.65086371514</x:v>
      </x:c>
      <x:c r="F11" s="90" t="n">
        <x:v>0.9549056937476543</x:v>
      </x:c>
      <x:c r="G11" s="76" t="n">
        <x:v>0.03000278497825575</x:v>
      </x:c>
      <x:c r="H11" s="91" t="n">
        <x:v>0.2143897684183466</x:v>
      </x:c>
    </x:row>
    <x:row r="12">
      <x:c r="A12" s="73" t="n">
        <x:v>9</x:v>
      </x:c>
      <x:c r="B12" s="75" t="n">
        <x:v>41586.840758735736</x:v>
      </x:c>
      <x:c r="C12" s="90" t="n">
        <x:v>0.3383875209986903</x:v>
      </x:c>
      <x:c r="D12" s="90" t="n">
        <x:v>0.8643916849943527</x:v>
      </x:c>
      <x:c r="E12" s="90" t="n">
        <x:v>66916.88710330373</x:v>
      </x:c>
      <x:c r="F12" s="90" t="n">
        <x:v>0.7086664362843573</x:v>
      </x:c>
      <x:c r="G12" s="76" t="n">
        <x:v>0.002442211701193256</x:v>
      </x:c>
      <x:c r="H12" s="91" t="n">
        <x:v>0.21403629040896333</x:v>
      </x:c>
    </x:row>
    <x:row r="13">
      <x:c r="A13" s="78" t="n">
        <x:v>10</x:v>
      </x:c>
      <x:c r="B13" s="80" t="n">
        <x:v>36923.125026959904</x:v>
      </x:c>
      <x:c r="C13" s="92" t="n">
        <x:v>0.34414731768177553</x:v>
      </x:c>
      <x:c r="D13" s="92" t="n">
        <x:v>0.8338835324075061</x:v>
      </x:c>
      <x:c r="E13" s="92" t="n">
        <x:v>68304.30260166037</x:v>
      </x:c>
      <x:c r="F13" s="92" t="n">
        <x:v>0.9365807187754698</x:v>
      </x:c>
      <x:c r="G13" s="81" t="n">
        <x:v>0.002442211701193256</x:v>
      </x:c>
      <x:c r="H13" s="93" t="n">
        <x:v>0.22303391246599114</x:v>
      </x:c>
    </x:row>
  </x:sheetData>
  <x:conditionalFormatting sqref="A5:H13">
    <x:cfRule type="expression" dxfId="1" priority="1">
      <x:formula>$A5=4</x:formula>
    </x:cfRule>
  </x:conditionalFormatting>
  <x:pageMargins left="0.7" right="0.7" top="0.75" bottom="0.75" header="0.3" footer="0.3"/>
</x:worksheet>
</file>